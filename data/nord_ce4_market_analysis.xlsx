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d13cfd6bab9c69/Documents/"/>
    </mc:Choice>
  </mc:AlternateContent>
  <xr:revisionPtr revIDLastSave="595" documentId="8_{95A617AE-AFD3-4AC1-806A-402EA07AB9B5}" xr6:coauthVersionLast="47" xr6:coauthVersionMax="47" xr10:uidLastSave="{2FEA504D-B401-481E-8058-0834B54372D9}"/>
  <bookViews>
    <workbookView xWindow="-108" yWindow="-108" windowWidth="23256" windowHeight="12456" activeTab="4" xr2:uid="{173F9DC8-EEB7-4C3A-A840-716E3DB906A8}"/>
  </bookViews>
  <sheets>
    <sheet name="Phone_specs" sheetId="1" r:id="rId1"/>
    <sheet name="formal_rating" sheetId="2" r:id="rId2"/>
    <sheet name="Marketing_angel" sheetId="3" r:id="rId3"/>
    <sheet name="informal_rating" sheetId="5" r:id="rId4"/>
    <sheet name="master_summary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7" l="1"/>
  <c r="P3" i="7"/>
  <c r="H3" i="7"/>
  <c r="H4" i="7"/>
  <c r="H6" i="7"/>
  <c r="H2" i="7"/>
  <c r="H5" i="7"/>
  <c r="J3" i="7"/>
  <c r="I3" i="7"/>
  <c r="K3" i="7" s="1"/>
  <c r="J4" i="7"/>
  <c r="I4" i="7"/>
  <c r="K4" i="7" s="1"/>
  <c r="J6" i="7"/>
  <c r="I6" i="7"/>
  <c r="K6" i="7" s="1"/>
  <c r="J2" i="7"/>
  <c r="I2" i="7"/>
  <c r="K2" i="7" s="1"/>
  <c r="J5" i="7"/>
  <c r="I5" i="7"/>
  <c r="K5" i="7" s="1"/>
  <c r="E2" i="2"/>
  <c r="E6" i="2"/>
  <c r="E5" i="2"/>
  <c r="E4" i="2"/>
  <c r="E3" i="2"/>
  <c r="O2" i="7" l="1"/>
  <c r="O6" i="7"/>
  <c r="O4" i="7"/>
  <c r="O5" i="7"/>
  <c r="O3" i="7"/>
</calcChain>
</file>

<file path=xl/sharedStrings.xml><?xml version="1.0" encoding="utf-8"?>
<sst xmlns="http://schemas.openxmlformats.org/spreadsheetml/2006/main" count="305" uniqueCount="126">
  <si>
    <t xml:space="preserve">Phone </t>
  </si>
  <si>
    <t>Launch Price</t>
  </si>
  <si>
    <t>Processor</t>
  </si>
  <si>
    <t>Display</t>
  </si>
  <si>
    <t>Rear Camere</t>
  </si>
  <si>
    <t>Battery /chaing</t>
  </si>
  <si>
    <t>Launch Date</t>
  </si>
  <si>
    <t>OnePlus Nord CE4</t>
  </si>
  <si>
    <t>Redmi Note 13 Pro 5G</t>
  </si>
  <si>
    <t>Realme 12 Pro 5G</t>
  </si>
  <si>
    <t>iQOO Z9 5G</t>
  </si>
  <si>
    <t>Poco X6 Pro</t>
  </si>
  <si>
    <t>Snapdragon 7 Gen 3</t>
  </si>
  <si>
    <t>Snapdragon 7s Gen 2</t>
  </si>
  <si>
    <t>Snapdragon 6 Gen 1</t>
  </si>
  <si>
    <t>Dimensity 7200</t>
  </si>
  <si>
    <t>Dimensity 8300 Ultra</t>
  </si>
  <si>
    <t>6.7" AMOLED, 120Hz, 1100 nits</t>
  </si>
  <si>
    <t>6.67" AMOLED, 120Hz</t>
  </si>
  <si>
    <t>6.7" AMOLED, 120Hz, 950 nits</t>
  </si>
  <si>
    <t>AMOLED, 120Hz</t>
  </si>
  <si>
    <t>6.67" AMOLED, 120Hz, 1800 nits</t>
  </si>
  <si>
    <t>50MP + 8MP (OIS)</t>
  </si>
  <si>
    <t>200MP main + 8MP + 2MP</t>
  </si>
  <si>
    <t>50MP + 32MP telephoto + 8MP</t>
  </si>
  <si>
    <t>50MP OIS main</t>
  </si>
  <si>
    <t xml:space="preserve">64MP Main </t>
  </si>
  <si>
    <t>5500mAh, 100W SUPERVOOC</t>
  </si>
  <si>
    <t>5100mAh, 67W</t>
  </si>
  <si>
    <t>5000mAh, 67W</t>
  </si>
  <si>
    <t>5000mAh, 44–80W</t>
  </si>
  <si>
    <t>Rating</t>
  </si>
  <si>
    <t>Review Text</t>
  </si>
  <si>
    <t>Fabulous</t>
  </si>
  <si>
    <t>Review Date</t>
  </si>
  <si>
    <t>Very Good</t>
  </si>
  <si>
    <t>Nice</t>
  </si>
  <si>
    <t>Amezing</t>
  </si>
  <si>
    <t>Terrific</t>
  </si>
  <si>
    <t>Very Bad</t>
  </si>
  <si>
    <t>Did not meet expectations</t>
  </si>
  <si>
    <t>Delightfull</t>
  </si>
  <si>
    <t>Awesome</t>
  </si>
  <si>
    <t>Good</t>
  </si>
  <si>
    <t>Ver Good</t>
  </si>
  <si>
    <t>Value for money</t>
  </si>
  <si>
    <t>Bad Product</t>
  </si>
  <si>
    <t>Very poor</t>
  </si>
  <si>
    <t>Highly Recommended</t>
  </si>
  <si>
    <t>Build quality issue</t>
  </si>
  <si>
    <t>Good choice</t>
  </si>
  <si>
    <t>Worst experience</t>
  </si>
  <si>
    <t>Nice Product</t>
  </si>
  <si>
    <t>Brilliant</t>
  </si>
  <si>
    <t>worth the money</t>
  </si>
  <si>
    <t>Very Poor</t>
  </si>
  <si>
    <t>Classy Product</t>
  </si>
  <si>
    <t>worthless</t>
  </si>
  <si>
    <t>Marketing Angle</t>
  </si>
  <si>
    <t>Source Article</t>
  </si>
  <si>
    <t>Date</t>
  </si>
  <si>
    <t>telephoto portrait camera system with cinematic filters</t>
  </si>
  <si>
    <t>Fastest charging in Nord history</t>
  </si>
  <si>
    <t>gaming-grade chip at budget price</t>
  </si>
  <si>
    <t>Flagship performance, mid-range price</t>
  </si>
  <si>
    <t>Flagship 200MP camera at mid-range price</t>
  </si>
  <si>
    <t>https://www.timesnownews.com/technology-science/redmi-note-13-5g-redmi-note-13-pro-5g-redmi-note-13-pro-plus-5g-launched-in-india-price-offers-and-specs-article-106543608</t>
  </si>
  <si>
    <t>https://www.gadgets360.com/realme-12-pro-5g-price-in-india-123848</t>
  </si>
  <si>
    <t>https://www.cnbctv18.com/technology/iqoo-z9-5g-to-launch-in-india-on-march-12-know-its-features-19139021.htm</t>
  </si>
  <si>
    <t>https://www.gsmarena.com/oneplus_nord_ce4-12892.php</t>
  </si>
  <si>
    <t>https://www.91mobiles.com/poco-x6-pro-price-in-india</t>
  </si>
  <si>
    <t>Theme</t>
  </si>
  <si>
    <t>Frequency</t>
  </si>
  <si>
    <t>Sentiment</t>
  </si>
  <si>
    <t>positive</t>
  </si>
  <si>
    <t>negative</t>
  </si>
  <si>
    <t>Phone</t>
  </si>
  <si>
    <t>Excellent battery endurance</t>
  </si>
  <si>
    <t>Fast charging experience</t>
  </si>
  <si>
    <t>Smooth everyday performance</t>
  </si>
  <si>
    <t>Good value for money</t>
  </si>
  <si>
    <t>Clean software experience</t>
  </si>
  <si>
    <t>Average camera performance</t>
  </si>
  <si>
    <t>Occasional software bugs</t>
  </si>
  <si>
    <t>High-quality main camera</t>
  </si>
  <si>
    <t>Sharp AMOLED display</t>
  </si>
  <si>
    <t>Premium design</t>
  </si>
  <si>
    <t>Good everyday battery life</t>
  </si>
  <si>
    <t>HyperOS battery drain</t>
  </si>
  <si>
    <t>Video recording stutter</t>
  </si>
  <si>
    <t>Poor camera quality in third-party apps</t>
  </si>
  <si>
    <t>Bloatware complaints</t>
  </si>
  <si>
    <t>Occasional UI lag after updates</t>
  </si>
  <si>
    <t>Premium-looking design</t>
  </si>
  <si>
    <t>Strong portrait photography</t>
  </si>
  <si>
    <t>Good main camera quality</t>
  </si>
  <si>
    <t>Comfortable curved display</t>
  </si>
  <si>
    <t>Good battery backup</t>
  </si>
  <si>
    <t>Processor feels weak for the price</t>
  </si>
  <si>
    <t>Not ideal for heavy gaming</t>
  </si>
  <si>
    <t>Long-term performance concern</t>
  </si>
  <si>
    <t>Strong gaming performance</t>
  </si>
  <si>
    <t>Fast and responsive hardware</t>
  </si>
  <si>
    <t>Good AMOLED display</t>
  </si>
  <si>
    <t>Good primary camera</t>
  </si>
  <si>
    <t>Poor software experience</t>
  </si>
  <si>
    <t>Unwanted pre-installed apps</t>
  </si>
  <si>
    <t>Notification and UI complaints</t>
  </si>
  <si>
    <t>Audio quality complaints</t>
  </si>
  <si>
    <t>Excellent gaming performance</t>
  </si>
  <si>
    <t>Powerful processor for the price</t>
  </si>
  <si>
    <t>Fast app and game loading</t>
  </si>
  <si>
    <t>Smooth high-performance usage</t>
  </si>
  <si>
    <t>Strong value for money</t>
  </si>
  <si>
    <t>Heating during intensive gaming</t>
  </si>
  <si>
    <t>Battery drain under heavy use</t>
  </si>
  <si>
    <t>Warm during normal usage</t>
  </si>
  <si>
    <t>HyperOS optimization complaints</t>
  </si>
  <si>
    <t>Thermal throttling concerns</t>
  </si>
  <si>
    <t>Average camera quality</t>
  </si>
  <si>
    <t>occasional touchscreen complaints</t>
  </si>
  <si>
    <t>Avg Formal Rating</t>
  </si>
  <si>
    <t># Positive Informal Mentions</t>
  </si>
  <si>
    <t># Negative Informal Mentions</t>
  </si>
  <si>
    <t>Sentiment Score</t>
  </si>
  <si>
    <t>Value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</si>
</sst>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6" fontId="0" fillId="0" borderId="0" xfId="0" applyNumberFormat="1"/>
    <xf numFmtId="17" fontId="0" fillId="0" borderId="0" xfId="0" applyNumberFormat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  <xf numFmtId="0" fontId="2" fillId="0" borderId="0" xfId="1" applyAlignment="1">
      <alignment wrapText="1"/>
    </xf>
    <xf numFmtId="0" fontId="0" fillId="0" borderId="0" xfId="0" applyAlignment="1">
      <alignment wrapText="1"/>
    </xf>
    <xf numFmtId="0" fontId="2" fillId="0" borderId="0" xfId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17" fontId="0" fillId="0" borderId="0" xfId="0" applyNumberFormat="1" applyAlignment="1">
      <alignment vertical="top"/>
    </xf>
    <xf numFmtId="0" fontId="0" fillId="0" borderId="0" xfId="0" applyAlignment="1">
      <alignment horizontal="center" wrapText="1"/>
    </xf>
    <xf numFmtId="6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Price vs. Sentiment Positioning Matrix</a:t>
            </a:r>
            <a:endParaRPr lang="en-IN"/>
          </a:p>
        </c:rich>
      </c:tx>
      <c:overlay val="0"/>
      <c:spPr>
        <a:noFill/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C06C4FE-ACAF-4FD1-B9E4-270A07AFA746}" type="CELLRANGE">
                      <a:rPr lang="en-US"/>
                      <a:pPr>
                        <a:defRPr/>
                      </a:pPr>
                      <a:t>[CELLRANGE]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318625744755945"/>
                      <c:h val="8.640177710386438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06E2-4208-8F95-71F0A3113D9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2702E14-EABF-4521-9B85-D290F01FDDD6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06E2-4208-8F95-71F0A3113D9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5717EC0-754A-48D8-9A87-E60FDA93CABB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06E2-4208-8F95-71F0A3113D9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2A26E9D-882C-4085-A10D-E24F907814B8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06E2-4208-8F95-71F0A3113D9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77F90AD-3A45-4404-AA2E-EF639E69BC5E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06E2-4208-8F95-71F0A3113D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master_summary!$B$2:$B$6</c:f>
              <c:numCache>
                <c:formatCode>"₹"#,##0_);[Red]\("₹"#,##0\)</c:formatCode>
                <c:ptCount val="5"/>
                <c:pt idx="0">
                  <c:v>25999</c:v>
                </c:pt>
                <c:pt idx="1">
                  <c:v>27999</c:v>
                </c:pt>
                <c:pt idx="2">
                  <c:v>24999</c:v>
                </c:pt>
                <c:pt idx="3">
                  <c:v>24999</c:v>
                </c:pt>
                <c:pt idx="4">
                  <c:v>25999</c:v>
                </c:pt>
              </c:numCache>
            </c:numRef>
          </c:xVal>
          <c:yVal>
            <c:numRef>
              <c:f>master_summary!$K$2:$K$6</c:f>
              <c:numCache>
                <c:formatCode>General</c:formatCode>
                <c:ptCount val="5"/>
                <c:pt idx="0">
                  <c:v>0.56999999999999995</c:v>
                </c:pt>
                <c:pt idx="1">
                  <c:v>0.6</c:v>
                </c:pt>
                <c:pt idx="2">
                  <c:v>0.54</c:v>
                </c:pt>
                <c:pt idx="3">
                  <c:v>0.88</c:v>
                </c:pt>
                <c:pt idx="4">
                  <c:v>0.74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master_summary!$A$2:$A$6</c15:f>
                <c15:dlblRangeCache>
                  <c:ptCount val="5"/>
                  <c:pt idx="0">
                    <c:v>Redmi Note 13 Pro 5G</c:v>
                  </c:pt>
                  <c:pt idx="1">
                    <c:v>Poco X6 Pro</c:v>
                  </c:pt>
                  <c:pt idx="2">
                    <c:v>iQOO Z9 5G</c:v>
                  </c:pt>
                  <c:pt idx="3">
                    <c:v>OnePlus Nord CE4</c:v>
                  </c:pt>
                  <c:pt idx="4">
                    <c:v>Realme 12 Pro 5G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06E2-4208-8F95-71F0A3113D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54681344"/>
        <c:axId val="1789475824"/>
      </c:scatterChart>
      <c:valAx>
        <c:axId val="55468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Launch Price (₹)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₹&quot;#,##0_);[Red]\(&quot;₹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475824"/>
        <c:crosses val="autoZero"/>
        <c:crossBetween val="midCat"/>
      </c:valAx>
      <c:valAx>
        <c:axId val="178947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Sentiment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681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Value Score Ranking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master_summary!$A$2:$A$6</c:f>
              <c:strCache>
                <c:ptCount val="5"/>
                <c:pt idx="0">
                  <c:v>Redmi Note 13 Pro 5G</c:v>
                </c:pt>
                <c:pt idx="1">
                  <c:v>Poco X6 Pro</c:v>
                </c:pt>
                <c:pt idx="2">
                  <c:v>iQOO Z9 5G</c:v>
                </c:pt>
                <c:pt idx="3">
                  <c:v>OnePlus Nord CE4</c:v>
                </c:pt>
                <c:pt idx="4">
                  <c:v>Realme 12 Pro 5G</c:v>
                </c:pt>
              </c:strCache>
            </c:strRef>
          </c:cat>
          <c:val>
            <c:numRef>
              <c:f>master_summary!$O$2:$O$6</c:f>
              <c:numCache>
                <c:formatCode>General</c:formatCode>
                <c:ptCount val="5"/>
                <c:pt idx="0">
                  <c:v>25</c:v>
                </c:pt>
                <c:pt idx="1">
                  <c:v>39</c:v>
                </c:pt>
                <c:pt idx="2">
                  <c:v>57</c:v>
                </c:pt>
                <c:pt idx="3">
                  <c:v>67</c:v>
                </c:pt>
                <c:pt idx="4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B-4C68-BEB0-993E7C2C258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23617904"/>
        <c:axId val="1883015440"/>
      </c:barChart>
      <c:catAx>
        <c:axId val="6236179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Phone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015440"/>
        <c:crosses val="autoZero"/>
        <c:auto val="1"/>
        <c:lblAlgn val="ctr"/>
        <c:lblOffset val="100"/>
        <c:noMultiLvlLbl val="0"/>
      </c:catAx>
      <c:valAx>
        <c:axId val="188301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617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477297</xdr:colOff>
      <xdr:row>7</xdr:row>
      <xdr:rowOff>133980</xdr:rowOff>
    </xdr:from>
    <xdr:to>
      <xdr:col>7</xdr:col>
      <xdr:colOff>29308</xdr:colOff>
      <xdr:row>26</xdr:row>
      <xdr:rowOff>108858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4706768-FA75-E529-26F7-546D7F279A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142351</xdr:colOff>
      <xdr:row>7</xdr:row>
      <xdr:rowOff>43542</xdr:rowOff>
    </xdr:from>
    <xdr:to>
      <xdr:col>12</xdr:col>
      <xdr:colOff>837362</xdr:colOff>
      <xdr:row>24</xdr:row>
      <xdr:rowOff>58615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B3DB625-BFA9-AD3F-8B32-2772E0D4DE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smarena.com/oneplus_nord_ce4-12892.php" TargetMode="External"/><Relationship Id="rId2" Type="http://schemas.openxmlformats.org/officeDocument/2006/relationships/hyperlink" Target="https://www.gadgets360.com/realme-12-pro-5g-price-in-india-123848" TargetMode="External"/><Relationship Id="rId1" Type="http://schemas.openxmlformats.org/officeDocument/2006/relationships/hyperlink" Target="https://www.timesnownews.com/technology-science/redmi-note-13-5g-redmi-note-13-pro-5g-redmi-note-13-pro-plus-5g-launched-in-india-price-offers-and-specs-article-106543608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www.91mobiles.com/poco-x6-pro-price-in-india" TargetMode="External"/><Relationship Id="rId4" Type="http://schemas.openxmlformats.org/officeDocument/2006/relationships/hyperlink" Target="https://www.cnbctv18.com/technology/iqoo-z9-5g-to-launch-in-india-on-march-12-know-its-features-19139021.ht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smarena.com/oneplus_nord_ce4-12892.php" TargetMode="External"/><Relationship Id="rId2" Type="http://schemas.openxmlformats.org/officeDocument/2006/relationships/hyperlink" Target="https://www.gadgets360.com/realme-12-pro-5g-price-in-india-123848" TargetMode="External"/><Relationship Id="rId1" Type="http://schemas.openxmlformats.org/officeDocument/2006/relationships/hyperlink" Target="https://www.timesnownews.com/technology-science/redmi-note-13-5g-redmi-note-13-pro-5g-redmi-note-13-pro-plus-5g-launched-in-india-price-offers-and-specs-article-106543608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www.91mobiles.com/poco-x6-pro-price-in-india" TargetMode="External"/><Relationship Id="rId4" Type="http://schemas.openxmlformats.org/officeDocument/2006/relationships/hyperlink" Target="https://www.cnbctv18.com/technology/iqoo-z9-5g-to-launch-in-india-on-march-12-know-its-features-19139021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A66A0-E4F2-4508-B3BE-5448E8E9CF3D}">
  <dimension ref="A1:G6"/>
  <sheetViews>
    <sheetView workbookViewId="0">
      <selection sqref="A1:G6"/>
    </sheetView>
  </sheetViews>
  <sheetFormatPr defaultRowHeight="14.4" x14ac:dyDescent="0.3"/>
  <cols>
    <col min="1" max="1" width="21" customWidth="1"/>
    <col min="2" max="2" width="38.6640625" customWidth="1"/>
    <col min="3" max="3" width="23.5546875" customWidth="1"/>
    <col min="4" max="4" width="28" customWidth="1"/>
    <col min="5" max="5" width="27.88671875" customWidth="1"/>
    <col min="6" max="6" width="26.109375" customWidth="1"/>
    <col min="7" max="7" width="14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2">
        <v>24999</v>
      </c>
      <c r="C2" t="s">
        <v>12</v>
      </c>
      <c r="D2" t="s">
        <v>17</v>
      </c>
      <c r="E2" t="s">
        <v>22</v>
      </c>
      <c r="F2" t="s">
        <v>27</v>
      </c>
      <c r="G2" s="3">
        <v>45383</v>
      </c>
    </row>
    <row r="3" spans="1:7" x14ac:dyDescent="0.3">
      <c r="A3" s="1" t="s">
        <v>8</v>
      </c>
      <c r="B3" s="2">
        <v>25999</v>
      </c>
      <c r="C3" t="s">
        <v>13</v>
      </c>
      <c r="D3" t="s">
        <v>18</v>
      </c>
      <c r="E3" t="s">
        <v>23</v>
      </c>
      <c r="F3" t="s">
        <v>28</v>
      </c>
      <c r="G3" s="3">
        <v>45292</v>
      </c>
    </row>
    <row r="4" spans="1:7" x14ac:dyDescent="0.3">
      <c r="A4" s="1" t="s">
        <v>9</v>
      </c>
      <c r="B4" s="2">
        <v>25999</v>
      </c>
      <c r="C4" t="s">
        <v>14</v>
      </c>
      <c r="D4" t="s">
        <v>19</v>
      </c>
      <c r="E4" t="s">
        <v>24</v>
      </c>
      <c r="F4" t="s">
        <v>29</v>
      </c>
      <c r="G4" s="3">
        <v>45323</v>
      </c>
    </row>
    <row r="5" spans="1:7" x14ac:dyDescent="0.3">
      <c r="A5" s="1" t="s">
        <v>10</v>
      </c>
      <c r="B5" s="2">
        <v>24999</v>
      </c>
      <c r="C5" t="s">
        <v>15</v>
      </c>
      <c r="D5" t="s">
        <v>20</v>
      </c>
      <c r="E5" t="s">
        <v>25</v>
      </c>
      <c r="F5" t="s">
        <v>30</v>
      </c>
      <c r="G5" s="3">
        <v>45383</v>
      </c>
    </row>
    <row r="6" spans="1:7" x14ac:dyDescent="0.3">
      <c r="A6" s="1" t="s">
        <v>11</v>
      </c>
      <c r="B6" s="2">
        <v>27999</v>
      </c>
      <c r="C6" t="s">
        <v>16</v>
      </c>
      <c r="D6" t="s">
        <v>21</v>
      </c>
      <c r="E6" t="s">
        <v>26</v>
      </c>
      <c r="F6" t="s">
        <v>29</v>
      </c>
      <c r="G6" s="3">
        <v>45292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A37F6-8910-4D3F-897E-ECBC747D8E09}">
  <dimension ref="A1:E33"/>
  <sheetViews>
    <sheetView topLeftCell="A2" zoomScale="115" workbookViewId="0">
      <selection activeCell="D24" sqref="D24"/>
    </sheetView>
  </sheetViews>
  <sheetFormatPr defaultRowHeight="14.4" x14ac:dyDescent="0.3"/>
  <cols>
    <col min="1" max="1" width="21.21875" customWidth="1"/>
    <col min="2" max="2" width="10.77734375" customWidth="1"/>
    <col min="3" max="4" width="22.77734375" customWidth="1"/>
  </cols>
  <sheetData>
    <row r="1" spans="1:5" x14ac:dyDescent="0.3">
      <c r="A1" s="1" t="s">
        <v>0</v>
      </c>
      <c r="B1" s="1" t="s">
        <v>31</v>
      </c>
      <c r="C1" s="1" t="s">
        <v>32</v>
      </c>
      <c r="D1" s="1" t="s">
        <v>34</v>
      </c>
    </row>
    <row r="2" spans="1:5" x14ac:dyDescent="0.3">
      <c r="A2" s="1" t="s">
        <v>7</v>
      </c>
      <c r="B2">
        <v>5</v>
      </c>
      <c r="C2" t="s">
        <v>33</v>
      </c>
      <c r="D2" s="3">
        <v>45383</v>
      </c>
      <c r="E2">
        <f>AVERAGEIF(formal_rating!A:A, "OnePlus Nord CE4", formal_rating!B:B)</f>
        <v>3.4285714285714284</v>
      </c>
    </row>
    <row r="3" spans="1:5" x14ac:dyDescent="0.3">
      <c r="A3" s="1" t="s">
        <v>7</v>
      </c>
      <c r="B3">
        <v>4</v>
      </c>
      <c r="C3" t="s">
        <v>35</v>
      </c>
      <c r="D3" s="3">
        <v>45748</v>
      </c>
      <c r="E3">
        <f>AVERAGEIF(formal_rating!A:A, "Redmi Note 13 Pro 5G", formal_rating!B:B)</f>
        <v>3.4285714285714284</v>
      </c>
    </row>
    <row r="4" spans="1:5" x14ac:dyDescent="0.3">
      <c r="A4" s="1" t="s">
        <v>7</v>
      </c>
      <c r="B4">
        <v>4</v>
      </c>
      <c r="C4" t="s">
        <v>36</v>
      </c>
      <c r="D4" s="3">
        <v>45778</v>
      </c>
      <c r="E4">
        <f>AVERAGEIF(formal_rating!A:A, "Realme 12 Pro 5G", formal_rating!B:B)</f>
        <v>3.8571428571428572</v>
      </c>
    </row>
    <row r="5" spans="1:5" x14ac:dyDescent="0.3">
      <c r="A5" s="1" t="s">
        <v>7</v>
      </c>
      <c r="B5">
        <v>4</v>
      </c>
      <c r="C5" t="s">
        <v>37</v>
      </c>
      <c r="D5" s="3">
        <v>45658</v>
      </c>
      <c r="E5">
        <f>AVERAGEIF(formal_rating!A:A, "IQOO Z9 5G", formal_rating!B:B)</f>
        <v>3.8333333333333335</v>
      </c>
    </row>
    <row r="6" spans="1:5" x14ac:dyDescent="0.3">
      <c r="A6" s="1" t="s">
        <v>7</v>
      </c>
      <c r="B6">
        <v>5</v>
      </c>
      <c r="C6" t="s">
        <v>38</v>
      </c>
      <c r="D6" s="3">
        <v>45383</v>
      </c>
      <c r="E6">
        <f>AVERAGEIF(formal_rating!A:A, "POCO X6 Pro", formal_rating!B:B)</f>
        <v>4</v>
      </c>
    </row>
    <row r="7" spans="1:5" x14ac:dyDescent="0.3">
      <c r="A7" s="1" t="s">
        <v>7</v>
      </c>
      <c r="B7">
        <v>1</v>
      </c>
      <c r="C7" t="s">
        <v>39</v>
      </c>
      <c r="D7" s="3">
        <v>45778</v>
      </c>
    </row>
    <row r="8" spans="1:5" x14ac:dyDescent="0.3">
      <c r="A8" s="1" t="s">
        <v>7</v>
      </c>
      <c r="B8">
        <v>1</v>
      </c>
      <c r="C8" t="s">
        <v>40</v>
      </c>
      <c r="D8" s="3">
        <v>45444</v>
      </c>
    </row>
    <row r="9" spans="1:5" x14ac:dyDescent="0.3">
      <c r="A9" s="1" t="s">
        <v>8</v>
      </c>
      <c r="B9">
        <v>4</v>
      </c>
      <c r="C9" t="s">
        <v>41</v>
      </c>
      <c r="D9" s="3">
        <v>45658</v>
      </c>
    </row>
    <row r="10" spans="1:5" x14ac:dyDescent="0.3">
      <c r="A10" s="1" t="s">
        <v>8</v>
      </c>
      <c r="B10">
        <v>5</v>
      </c>
      <c r="C10" t="s">
        <v>42</v>
      </c>
      <c r="D10" s="3">
        <v>45292</v>
      </c>
    </row>
    <row r="11" spans="1:5" x14ac:dyDescent="0.3">
      <c r="A11" s="1" t="s">
        <v>8</v>
      </c>
      <c r="B11">
        <v>4</v>
      </c>
      <c r="C11" t="s">
        <v>43</v>
      </c>
      <c r="D11" s="3">
        <v>45352</v>
      </c>
    </row>
    <row r="12" spans="1:5" x14ac:dyDescent="0.3">
      <c r="A12" s="1" t="s">
        <v>8</v>
      </c>
      <c r="B12">
        <v>4</v>
      </c>
      <c r="C12" t="s">
        <v>44</v>
      </c>
      <c r="D12" s="3">
        <v>45413</v>
      </c>
    </row>
    <row r="13" spans="1:5" x14ac:dyDescent="0.3">
      <c r="A13" s="1" t="s">
        <v>8</v>
      </c>
      <c r="B13">
        <v>5</v>
      </c>
      <c r="C13" t="s">
        <v>45</v>
      </c>
      <c r="D13" s="3">
        <v>45292</v>
      </c>
    </row>
    <row r="14" spans="1:5" x14ac:dyDescent="0.3">
      <c r="A14" s="1" t="s">
        <v>8</v>
      </c>
      <c r="B14">
        <v>1</v>
      </c>
      <c r="C14" t="s">
        <v>46</v>
      </c>
      <c r="D14" s="3">
        <v>45809</v>
      </c>
    </row>
    <row r="15" spans="1:5" x14ac:dyDescent="0.3">
      <c r="A15" s="1" t="s">
        <v>8</v>
      </c>
      <c r="B15">
        <v>1</v>
      </c>
      <c r="C15" t="s">
        <v>47</v>
      </c>
      <c r="D15" s="3">
        <v>45748</v>
      </c>
    </row>
    <row r="16" spans="1:5" x14ac:dyDescent="0.3">
      <c r="A16" s="1" t="s">
        <v>9</v>
      </c>
      <c r="B16">
        <v>5</v>
      </c>
      <c r="C16" t="s">
        <v>48</v>
      </c>
      <c r="D16" s="3">
        <v>45323</v>
      </c>
    </row>
    <row r="17" spans="1:4" x14ac:dyDescent="0.3">
      <c r="A17" s="1" t="s">
        <v>9</v>
      </c>
      <c r="B17">
        <v>4</v>
      </c>
      <c r="C17" t="s">
        <v>45</v>
      </c>
      <c r="D17" s="3">
        <v>45323</v>
      </c>
    </row>
    <row r="18" spans="1:4" x14ac:dyDescent="0.3">
      <c r="A18" s="1" t="s">
        <v>9</v>
      </c>
      <c r="B18">
        <v>4</v>
      </c>
      <c r="C18" t="s">
        <v>41</v>
      </c>
      <c r="D18" s="3">
        <v>45383</v>
      </c>
    </row>
    <row r="19" spans="1:4" x14ac:dyDescent="0.3">
      <c r="A19" s="1" t="s">
        <v>9</v>
      </c>
      <c r="B19">
        <v>4</v>
      </c>
      <c r="C19" t="s">
        <v>49</v>
      </c>
      <c r="D19" s="3">
        <v>45383</v>
      </c>
    </row>
    <row r="20" spans="1:4" x14ac:dyDescent="0.3">
      <c r="A20" s="1" t="s">
        <v>9</v>
      </c>
      <c r="B20">
        <v>5</v>
      </c>
      <c r="C20" t="s">
        <v>50</v>
      </c>
      <c r="D20" s="3">
        <v>45352</v>
      </c>
    </row>
    <row r="21" spans="1:4" x14ac:dyDescent="0.3">
      <c r="A21" s="1" t="s">
        <v>9</v>
      </c>
      <c r="B21">
        <v>4</v>
      </c>
      <c r="C21" t="s">
        <v>36</v>
      </c>
      <c r="D21" s="3">
        <v>45323</v>
      </c>
    </row>
    <row r="22" spans="1:4" x14ac:dyDescent="0.3">
      <c r="A22" s="1" t="s">
        <v>9</v>
      </c>
      <c r="B22">
        <v>1</v>
      </c>
      <c r="C22" t="s">
        <v>51</v>
      </c>
      <c r="D22" s="3">
        <v>45809</v>
      </c>
    </row>
    <row r="23" spans="1:4" x14ac:dyDescent="0.3">
      <c r="A23" s="1" t="s">
        <v>10</v>
      </c>
      <c r="B23">
        <v>5</v>
      </c>
      <c r="C23" t="s">
        <v>52</v>
      </c>
      <c r="D23" s="3">
        <v>45383</v>
      </c>
    </row>
    <row r="24" spans="1:4" x14ac:dyDescent="0.3">
      <c r="A24" s="1" t="s">
        <v>10</v>
      </c>
      <c r="B24">
        <v>4</v>
      </c>
      <c r="C24" t="s">
        <v>35</v>
      </c>
      <c r="D24" s="3">
        <v>45383</v>
      </c>
    </row>
    <row r="25" spans="1:4" x14ac:dyDescent="0.3">
      <c r="A25" s="1" t="s">
        <v>10</v>
      </c>
      <c r="B25">
        <v>5</v>
      </c>
      <c r="C25" t="s">
        <v>33</v>
      </c>
      <c r="D25" s="3">
        <v>45444</v>
      </c>
    </row>
    <row r="26" spans="1:4" x14ac:dyDescent="0.3">
      <c r="A26" s="1" t="s">
        <v>10</v>
      </c>
      <c r="B26">
        <v>4</v>
      </c>
      <c r="C26" t="s">
        <v>53</v>
      </c>
      <c r="D26" s="3">
        <v>45383</v>
      </c>
    </row>
    <row r="27" spans="1:4" x14ac:dyDescent="0.3">
      <c r="A27" s="1" t="s">
        <v>10</v>
      </c>
      <c r="B27">
        <v>4</v>
      </c>
      <c r="C27" t="s">
        <v>54</v>
      </c>
      <c r="D27" s="3">
        <v>45444</v>
      </c>
    </row>
    <row r="28" spans="1:4" x14ac:dyDescent="0.3">
      <c r="A28" s="1" t="s">
        <v>10</v>
      </c>
      <c r="B28">
        <v>1</v>
      </c>
      <c r="C28" t="s">
        <v>55</v>
      </c>
      <c r="D28" s="3">
        <v>45717</v>
      </c>
    </row>
    <row r="29" spans="1:4" x14ac:dyDescent="0.3">
      <c r="A29" s="1" t="s">
        <v>11</v>
      </c>
      <c r="B29">
        <v>5</v>
      </c>
      <c r="C29" t="s">
        <v>37</v>
      </c>
      <c r="D29" s="3">
        <v>45323</v>
      </c>
    </row>
    <row r="30" spans="1:4" x14ac:dyDescent="0.3">
      <c r="A30" s="1" t="s">
        <v>11</v>
      </c>
      <c r="B30">
        <v>5</v>
      </c>
      <c r="C30" t="s">
        <v>52</v>
      </c>
      <c r="D30" s="3">
        <v>45292</v>
      </c>
    </row>
    <row r="31" spans="1:4" x14ac:dyDescent="0.3">
      <c r="A31" s="1" t="s">
        <v>11</v>
      </c>
      <c r="B31">
        <v>4</v>
      </c>
      <c r="C31" t="s">
        <v>33</v>
      </c>
      <c r="D31" s="3">
        <v>45383</v>
      </c>
    </row>
    <row r="32" spans="1:4" x14ac:dyDescent="0.3">
      <c r="A32" s="1" t="s">
        <v>11</v>
      </c>
      <c r="B32">
        <v>5</v>
      </c>
      <c r="C32" t="s">
        <v>56</v>
      </c>
      <c r="D32" s="3">
        <v>45292</v>
      </c>
    </row>
    <row r="33" spans="1:4" x14ac:dyDescent="0.3">
      <c r="A33" s="1" t="s">
        <v>11</v>
      </c>
      <c r="B33">
        <v>1</v>
      </c>
      <c r="C33" t="s">
        <v>57</v>
      </c>
      <c r="D33" s="3">
        <v>45474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369E5-7DDB-41F9-9D97-CB475F5298C8}">
  <dimension ref="A1:D6"/>
  <sheetViews>
    <sheetView workbookViewId="0">
      <selection activeCell="B14" sqref="B14"/>
    </sheetView>
  </sheetViews>
  <sheetFormatPr defaultRowHeight="14.4" x14ac:dyDescent="0.3"/>
  <cols>
    <col min="1" max="1" width="20" customWidth="1"/>
    <col min="2" max="2" width="63.44140625" style="5" customWidth="1"/>
    <col min="3" max="3" width="43.88671875" style="8" customWidth="1"/>
    <col min="4" max="4" width="18.5546875" customWidth="1"/>
  </cols>
  <sheetData>
    <row r="1" spans="1:4" x14ac:dyDescent="0.3">
      <c r="A1" s="1" t="s">
        <v>0</v>
      </c>
      <c r="B1" s="4" t="s">
        <v>58</v>
      </c>
      <c r="C1" s="6" t="s">
        <v>59</v>
      </c>
      <c r="D1" s="1" t="s">
        <v>60</v>
      </c>
    </row>
    <row r="2" spans="1:4" ht="28.8" x14ac:dyDescent="0.3">
      <c r="A2" s="1" t="s">
        <v>7</v>
      </c>
      <c r="B2" s="1" t="s">
        <v>62</v>
      </c>
      <c r="C2" s="7" t="s">
        <v>69</v>
      </c>
      <c r="D2" s="3">
        <v>45383</v>
      </c>
    </row>
    <row r="3" spans="1:4" ht="57.6" x14ac:dyDescent="0.3">
      <c r="A3" s="1" t="s">
        <v>8</v>
      </c>
      <c r="B3" s="4" t="s">
        <v>65</v>
      </c>
      <c r="C3" s="9" t="s">
        <v>66</v>
      </c>
      <c r="D3" s="3">
        <v>45292</v>
      </c>
    </row>
    <row r="4" spans="1:4" ht="28.8" x14ac:dyDescent="0.3">
      <c r="A4" s="1" t="s">
        <v>9</v>
      </c>
      <c r="B4" s="4" t="s">
        <v>61</v>
      </c>
      <c r="C4" s="7" t="s">
        <v>67</v>
      </c>
      <c r="D4" s="3">
        <v>45292</v>
      </c>
    </row>
    <row r="5" spans="1:4" ht="43.2" x14ac:dyDescent="0.3">
      <c r="A5" s="1" t="s">
        <v>10</v>
      </c>
      <c r="B5" s="1" t="s">
        <v>63</v>
      </c>
      <c r="C5" s="7" t="s">
        <v>68</v>
      </c>
      <c r="D5" s="3">
        <v>45352</v>
      </c>
    </row>
    <row r="6" spans="1:4" ht="28.8" x14ac:dyDescent="0.3">
      <c r="A6" s="1" t="s">
        <v>11</v>
      </c>
      <c r="B6" s="1" t="s">
        <v>64</v>
      </c>
      <c r="C6" s="7" t="s">
        <v>70</v>
      </c>
      <c r="D6" s="3">
        <v>45292</v>
      </c>
    </row>
  </sheetData>
  <hyperlinks>
    <hyperlink ref="C3" r:id="rId1" xr:uid="{88AD7AEF-4797-4C9D-95F7-CE2E4BB041C0}"/>
    <hyperlink ref="C4" r:id="rId2" xr:uid="{F0D977BD-1A7B-4014-921B-B7293316C294}"/>
    <hyperlink ref="C2" r:id="rId3" xr:uid="{143685CE-82CB-4163-BCC2-B5FD7115FB74}"/>
    <hyperlink ref="C5" r:id="rId4" xr:uid="{D7CDCB3F-A3C1-4318-A49B-D48EBE017B03}"/>
    <hyperlink ref="C6" r:id="rId5" xr:uid="{C1F77633-5ABB-4676-AD47-A5C74F52D2AE}"/>
  </hyperlinks>
  <pageMargins left="0.7" right="0.7" top="0.75" bottom="0.75" header="0.3" footer="0.3"/>
  <pageSetup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8D535-B472-4AE2-B3F6-968129A62852}">
  <dimension ref="A1:D45"/>
  <sheetViews>
    <sheetView workbookViewId="0">
      <selection activeCell="F2" sqref="F2"/>
    </sheetView>
  </sheetViews>
  <sheetFormatPr defaultRowHeight="14.4" x14ac:dyDescent="0.3"/>
  <cols>
    <col min="1" max="1" width="24.44140625" style="1" customWidth="1"/>
    <col min="2" max="2" width="36.33203125" customWidth="1"/>
    <col min="3" max="3" width="14.77734375" customWidth="1"/>
    <col min="4" max="4" width="17.6640625" customWidth="1"/>
  </cols>
  <sheetData>
    <row r="1" spans="1:4" x14ac:dyDescent="0.3">
      <c r="A1" s="12" t="s">
        <v>76</v>
      </c>
      <c r="B1" s="12" t="s">
        <v>71</v>
      </c>
      <c r="C1" s="13" t="s">
        <v>72</v>
      </c>
      <c r="D1" s="12" t="s">
        <v>73</v>
      </c>
    </row>
    <row r="2" spans="1:4" x14ac:dyDescent="0.3">
      <c r="A2" s="16" t="s">
        <v>7</v>
      </c>
      <c r="B2" s="14" t="s">
        <v>77</v>
      </c>
      <c r="C2" s="15">
        <v>18</v>
      </c>
      <c r="D2" s="14" t="s">
        <v>74</v>
      </c>
    </row>
    <row r="3" spans="1:4" x14ac:dyDescent="0.3">
      <c r="A3" s="16" t="s">
        <v>7</v>
      </c>
      <c r="B3" s="14" t="s">
        <v>78</v>
      </c>
      <c r="C3" s="15">
        <v>14</v>
      </c>
      <c r="D3" s="14" t="s">
        <v>74</v>
      </c>
    </row>
    <row r="4" spans="1:4" x14ac:dyDescent="0.3">
      <c r="A4" s="16" t="s">
        <v>7</v>
      </c>
      <c r="B4" s="14" t="s">
        <v>79</v>
      </c>
      <c r="C4" s="15">
        <v>12</v>
      </c>
      <c r="D4" s="14" t="s">
        <v>74</v>
      </c>
    </row>
    <row r="5" spans="1:4" x14ac:dyDescent="0.3">
      <c r="A5" s="16" t="s">
        <v>7</v>
      </c>
      <c r="B5" s="14" t="s">
        <v>80</v>
      </c>
      <c r="C5" s="15">
        <v>8</v>
      </c>
      <c r="D5" s="14" t="s">
        <v>74</v>
      </c>
    </row>
    <row r="6" spans="1:4" x14ac:dyDescent="0.3">
      <c r="A6" s="16" t="s">
        <v>7</v>
      </c>
      <c r="B6" s="14" t="s">
        <v>81</v>
      </c>
      <c r="C6" s="15">
        <v>7</v>
      </c>
      <c r="D6" s="14" t="s">
        <v>74</v>
      </c>
    </row>
    <row r="7" spans="1:4" x14ac:dyDescent="0.3">
      <c r="A7" s="16" t="s">
        <v>7</v>
      </c>
      <c r="B7" s="14" t="s">
        <v>82</v>
      </c>
      <c r="C7" s="15">
        <v>5</v>
      </c>
      <c r="D7" s="14" t="s">
        <v>75</v>
      </c>
    </row>
    <row r="8" spans="1:4" x14ac:dyDescent="0.3">
      <c r="A8" s="16" t="s">
        <v>7</v>
      </c>
      <c r="B8" s="14" t="s">
        <v>83</v>
      </c>
      <c r="C8" s="15">
        <v>3</v>
      </c>
      <c r="D8" s="14" t="s">
        <v>75</v>
      </c>
    </row>
    <row r="9" spans="1:4" x14ac:dyDescent="0.3">
      <c r="A9" s="16" t="s">
        <v>8</v>
      </c>
      <c r="B9" s="14" t="s">
        <v>84</v>
      </c>
      <c r="C9" s="15">
        <v>16</v>
      </c>
      <c r="D9" s="14" t="s">
        <v>74</v>
      </c>
    </row>
    <row r="10" spans="1:4" x14ac:dyDescent="0.3">
      <c r="A10" s="16" t="s">
        <v>8</v>
      </c>
      <c r="B10" s="14" t="s">
        <v>85</v>
      </c>
      <c r="C10" s="15">
        <v>13</v>
      </c>
      <c r="D10" s="14" t="s">
        <v>74</v>
      </c>
    </row>
    <row r="11" spans="1:4" x14ac:dyDescent="0.3">
      <c r="A11" s="16" t="s">
        <v>8</v>
      </c>
      <c r="B11" s="14" t="s">
        <v>86</v>
      </c>
      <c r="C11" s="15">
        <v>9</v>
      </c>
      <c r="D11" s="14" t="s">
        <v>74</v>
      </c>
    </row>
    <row r="12" spans="1:4" x14ac:dyDescent="0.3">
      <c r="A12" s="16" t="s">
        <v>8</v>
      </c>
      <c r="B12" s="14" t="s">
        <v>87</v>
      </c>
      <c r="C12" s="15">
        <v>7</v>
      </c>
      <c r="D12" s="14" t="s">
        <v>74</v>
      </c>
    </row>
    <row r="13" spans="1:4" x14ac:dyDescent="0.3">
      <c r="A13" s="16" t="s">
        <v>8</v>
      </c>
      <c r="B13" s="14" t="s">
        <v>88</v>
      </c>
      <c r="C13" s="15">
        <v>11</v>
      </c>
      <c r="D13" s="14" t="s">
        <v>75</v>
      </c>
    </row>
    <row r="14" spans="1:4" x14ac:dyDescent="0.3">
      <c r="A14" s="16" t="s">
        <v>8</v>
      </c>
      <c r="B14" s="14" t="s">
        <v>89</v>
      </c>
      <c r="C14" s="15">
        <v>8</v>
      </c>
      <c r="D14" s="14" t="s">
        <v>75</v>
      </c>
    </row>
    <row r="15" spans="1:4" x14ac:dyDescent="0.3">
      <c r="A15" s="16" t="s">
        <v>8</v>
      </c>
      <c r="B15" s="14" t="s">
        <v>90</v>
      </c>
      <c r="C15" s="15">
        <v>6</v>
      </c>
      <c r="D15" s="14" t="s">
        <v>75</v>
      </c>
    </row>
    <row r="16" spans="1:4" x14ac:dyDescent="0.3">
      <c r="A16" s="16" t="s">
        <v>8</v>
      </c>
      <c r="B16" s="14" t="s">
        <v>91</v>
      </c>
      <c r="C16" s="15">
        <v>5</v>
      </c>
      <c r="D16" s="14" t="s">
        <v>75</v>
      </c>
    </row>
    <row r="17" spans="1:4" x14ac:dyDescent="0.3">
      <c r="A17" s="16" t="s">
        <v>8</v>
      </c>
      <c r="B17" s="14" t="s">
        <v>92</v>
      </c>
      <c r="C17" s="15">
        <v>4</v>
      </c>
      <c r="D17" s="14" t="s">
        <v>75</v>
      </c>
    </row>
    <row r="18" spans="1:4" x14ac:dyDescent="0.3">
      <c r="A18" s="16" t="s">
        <v>9</v>
      </c>
      <c r="B18" s="14" t="s">
        <v>93</v>
      </c>
      <c r="C18" s="15">
        <v>17</v>
      </c>
      <c r="D18" s="14" t="s">
        <v>74</v>
      </c>
    </row>
    <row r="19" spans="1:4" x14ac:dyDescent="0.3">
      <c r="A19" s="16" t="s">
        <v>9</v>
      </c>
      <c r="B19" s="14" t="s">
        <v>94</v>
      </c>
      <c r="C19" s="15">
        <v>15</v>
      </c>
      <c r="D19" s="14" t="s">
        <v>74</v>
      </c>
    </row>
    <row r="20" spans="1:4" x14ac:dyDescent="0.3">
      <c r="A20" s="16" t="s">
        <v>9</v>
      </c>
      <c r="B20" s="14" t="s">
        <v>95</v>
      </c>
      <c r="C20" s="15">
        <v>11</v>
      </c>
      <c r="D20" s="14" t="s">
        <v>74</v>
      </c>
    </row>
    <row r="21" spans="1:4" x14ac:dyDescent="0.3">
      <c r="A21" s="16" t="s">
        <v>9</v>
      </c>
      <c r="B21" s="14" t="s">
        <v>96</v>
      </c>
      <c r="C21" s="15">
        <v>8</v>
      </c>
      <c r="D21" s="14" t="s">
        <v>74</v>
      </c>
    </row>
    <row r="22" spans="1:4" x14ac:dyDescent="0.3">
      <c r="A22" s="16" t="s">
        <v>9</v>
      </c>
      <c r="B22" s="14" t="s">
        <v>97</v>
      </c>
      <c r="C22" s="15">
        <v>6</v>
      </c>
      <c r="D22" s="14" t="s">
        <v>74</v>
      </c>
    </row>
    <row r="23" spans="1:4" x14ac:dyDescent="0.3">
      <c r="A23" s="16" t="s">
        <v>9</v>
      </c>
      <c r="B23" s="14" t="s">
        <v>98</v>
      </c>
      <c r="C23" s="15">
        <v>9</v>
      </c>
      <c r="D23" s="14" t="s">
        <v>75</v>
      </c>
    </row>
    <row r="24" spans="1:4" x14ac:dyDescent="0.3">
      <c r="A24" s="16" t="s">
        <v>9</v>
      </c>
      <c r="B24" s="14" t="s">
        <v>99</v>
      </c>
      <c r="C24" s="15">
        <v>7</v>
      </c>
      <c r="D24" s="14" t="s">
        <v>75</v>
      </c>
    </row>
    <row r="25" spans="1:4" x14ac:dyDescent="0.3">
      <c r="A25" s="16" t="s">
        <v>9</v>
      </c>
      <c r="B25" s="14" t="s">
        <v>100</v>
      </c>
      <c r="C25" s="15">
        <v>4</v>
      </c>
      <c r="D25" s="14" t="s">
        <v>75</v>
      </c>
    </row>
    <row r="26" spans="1:4" x14ac:dyDescent="0.3">
      <c r="A26" s="16" t="s">
        <v>10</v>
      </c>
      <c r="B26" s="14" t="s">
        <v>101</v>
      </c>
      <c r="C26" s="15">
        <v>19</v>
      </c>
      <c r="D26" s="14" t="s">
        <v>74</v>
      </c>
    </row>
    <row r="27" spans="1:4" x14ac:dyDescent="0.3">
      <c r="A27" s="16" t="s">
        <v>10</v>
      </c>
      <c r="B27" s="14" t="s">
        <v>102</v>
      </c>
      <c r="C27" s="15">
        <v>14</v>
      </c>
      <c r="D27" s="14" t="s">
        <v>74</v>
      </c>
    </row>
    <row r="28" spans="1:4" x14ac:dyDescent="0.3">
      <c r="A28" s="16" t="s">
        <v>10</v>
      </c>
      <c r="B28" s="14" t="s">
        <v>103</v>
      </c>
      <c r="C28" s="15">
        <v>10</v>
      </c>
      <c r="D28" s="14" t="s">
        <v>74</v>
      </c>
    </row>
    <row r="29" spans="1:4" x14ac:dyDescent="0.3">
      <c r="A29" s="16" t="s">
        <v>10</v>
      </c>
      <c r="B29" s="14" t="s">
        <v>104</v>
      </c>
      <c r="C29" s="15">
        <v>6</v>
      </c>
      <c r="D29" s="14" t="s">
        <v>74</v>
      </c>
    </row>
    <row r="30" spans="1:4" x14ac:dyDescent="0.3">
      <c r="A30" s="16" t="s">
        <v>10</v>
      </c>
      <c r="B30" s="14" t="s">
        <v>105</v>
      </c>
      <c r="C30" s="15">
        <v>15</v>
      </c>
      <c r="D30" s="14" t="s">
        <v>75</v>
      </c>
    </row>
    <row r="31" spans="1:4" x14ac:dyDescent="0.3">
      <c r="A31" s="16" t="s">
        <v>10</v>
      </c>
      <c r="B31" s="14" t="s">
        <v>106</v>
      </c>
      <c r="C31" s="15">
        <v>10</v>
      </c>
      <c r="D31" s="14" t="s">
        <v>75</v>
      </c>
    </row>
    <row r="32" spans="1:4" x14ac:dyDescent="0.3">
      <c r="A32" s="16" t="s">
        <v>10</v>
      </c>
      <c r="B32" s="14" t="s">
        <v>107</v>
      </c>
      <c r="C32" s="15">
        <v>8</v>
      </c>
      <c r="D32" s="14" t="s">
        <v>75</v>
      </c>
    </row>
    <row r="33" spans="1:4" x14ac:dyDescent="0.3">
      <c r="A33" s="16" t="s">
        <v>10</v>
      </c>
      <c r="B33" s="14" t="s">
        <v>120</v>
      </c>
      <c r="C33" s="15">
        <v>5</v>
      </c>
      <c r="D33" s="14" t="s">
        <v>75</v>
      </c>
    </row>
    <row r="34" spans="1:4" x14ac:dyDescent="0.3">
      <c r="A34" s="16" t="s">
        <v>10</v>
      </c>
      <c r="B34" s="14" t="s">
        <v>108</v>
      </c>
      <c r="C34" s="15">
        <v>3</v>
      </c>
      <c r="D34" s="14" t="s">
        <v>75</v>
      </c>
    </row>
    <row r="35" spans="1:4" x14ac:dyDescent="0.3">
      <c r="A35" s="16" t="s">
        <v>11</v>
      </c>
      <c r="B35" s="14" t="s">
        <v>109</v>
      </c>
      <c r="C35" s="15">
        <v>24</v>
      </c>
      <c r="D35" s="14" t="s">
        <v>74</v>
      </c>
    </row>
    <row r="36" spans="1:4" x14ac:dyDescent="0.3">
      <c r="A36" s="16" t="s">
        <v>11</v>
      </c>
      <c r="B36" s="14" t="s">
        <v>110</v>
      </c>
      <c r="C36" s="15">
        <v>20</v>
      </c>
      <c r="D36" s="14" t="s">
        <v>74</v>
      </c>
    </row>
    <row r="37" spans="1:4" x14ac:dyDescent="0.3">
      <c r="A37" s="16" t="s">
        <v>11</v>
      </c>
      <c r="B37" s="14" t="s">
        <v>111</v>
      </c>
      <c r="C37" s="15">
        <v>13</v>
      </c>
      <c r="D37" s="14" t="s">
        <v>74</v>
      </c>
    </row>
    <row r="38" spans="1:4" x14ac:dyDescent="0.3">
      <c r="A38" s="16" t="s">
        <v>11</v>
      </c>
      <c r="B38" s="14" t="s">
        <v>112</v>
      </c>
      <c r="C38" s="15">
        <v>10</v>
      </c>
      <c r="D38" s="14" t="s">
        <v>74</v>
      </c>
    </row>
    <row r="39" spans="1:4" x14ac:dyDescent="0.3">
      <c r="A39" s="16" t="s">
        <v>11</v>
      </c>
      <c r="B39" s="14" t="s">
        <v>113</v>
      </c>
      <c r="C39" s="15">
        <v>8</v>
      </c>
      <c r="D39" s="14" t="s">
        <v>74</v>
      </c>
    </row>
    <row r="40" spans="1:4" x14ac:dyDescent="0.3">
      <c r="A40" s="16" t="s">
        <v>11</v>
      </c>
      <c r="B40" s="14" t="s">
        <v>114</v>
      </c>
      <c r="C40" s="15">
        <v>17</v>
      </c>
      <c r="D40" s="14" t="s">
        <v>75</v>
      </c>
    </row>
    <row r="41" spans="1:4" x14ac:dyDescent="0.3">
      <c r="A41" s="16" t="s">
        <v>11</v>
      </c>
      <c r="B41" s="14" t="s">
        <v>115</v>
      </c>
      <c r="C41" s="15">
        <v>13</v>
      </c>
      <c r="D41" s="14" t="s">
        <v>75</v>
      </c>
    </row>
    <row r="42" spans="1:4" x14ac:dyDescent="0.3">
      <c r="A42" s="16" t="s">
        <v>11</v>
      </c>
      <c r="B42" s="14" t="s">
        <v>116</v>
      </c>
      <c r="C42" s="15">
        <v>8</v>
      </c>
      <c r="D42" s="14" t="s">
        <v>75</v>
      </c>
    </row>
    <row r="43" spans="1:4" x14ac:dyDescent="0.3">
      <c r="A43" s="16" t="s">
        <v>11</v>
      </c>
      <c r="B43" s="14" t="s">
        <v>117</v>
      </c>
      <c r="C43" s="15">
        <v>6</v>
      </c>
      <c r="D43" s="14" t="s">
        <v>75</v>
      </c>
    </row>
    <row r="44" spans="1:4" x14ac:dyDescent="0.3">
      <c r="A44" s="16" t="s">
        <v>11</v>
      </c>
      <c r="B44" s="14" t="s">
        <v>118</v>
      </c>
      <c r="C44" s="15">
        <v>4</v>
      </c>
      <c r="D44" s="14" t="s">
        <v>75</v>
      </c>
    </row>
    <row r="45" spans="1:4" x14ac:dyDescent="0.3">
      <c r="A45" s="16" t="s">
        <v>11</v>
      </c>
      <c r="B45" s="14" t="s">
        <v>119</v>
      </c>
      <c r="C45" s="15">
        <v>3</v>
      </c>
      <c r="D45" s="1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FA6D3-C473-46EB-8451-A1D9B804ACB7}">
  <dimension ref="A1:P6"/>
  <sheetViews>
    <sheetView tabSelected="1" zoomScale="54" workbookViewId="0">
      <selection activeCell="P2" sqref="P2:P3"/>
    </sheetView>
  </sheetViews>
  <sheetFormatPr defaultRowHeight="14.4" x14ac:dyDescent="0.3"/>
  <cols>
    <col min="1" max="1" width="15.88671875" style="10" customWidth="1"/>
    <col min="2" max="2" width="9.6640625" style="10" customWidth="1"/>
    <col min="3" max="3" width="15.109375" style="10" customWidth="1"/>
    <col min="4" max="4" width="13.5546875" style="19" customWidth="1"/>
    <col min="5" max="5" width="12" style="10" customWidth="1"/>
    <col min="6" max="6" width="12.6640625" style="8" customWidth="1"/>
    <col min="7" max="7" width="9.6640625" style="23" customWidth="1"/>
    <col min="8" max="8" width="11.88671875" style="23" customWidth="1"/>
    <col min="9" max="9" width="11" style="10" customWidth="1"/>
    <col min="10" max="10" width="10.21875" style="23" customWidth="1"/>
    <col min="11" max="11" width="11.77734375" style="23" customWidth="1"/>
    <col min="12" max="12" width="19.77734375" style="23" customWidth="1"/>
    <col min="13" max="13" width="21.44140625" customWidth="1"/>
    <col min="15" max="15" width="8.88671875" style="24"/>
  </cols>
  <sheetData>
    <row r="1" spans="1:16" ht="43.2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121</v>
      </c>
      <c r="I1" s="11" t="s">
        <v>122</v>
      </c>
      <c r="J1" s="11" t="s">
        <v>123</v>
      </c>
      <c r="K1" s="11" t="s">
        <v>124</v>
      </c>
      <c r="L1" s="11" t="s">
        <v>58</v>
      </c>
      <c r="M1" s="17" t="s">
        <v>59</v>
      </c>
      <c r="N1" s="16" t="s">
        <v>60</v>
      </c>
      <c r="O1" s="11" t="s">
        <v>125</v>
      </c>
    </row>
    <row r="2" spans="1:16" ht="43.2" x14ac:dyDescent="0.3">
      <c r="A2" s="11" t="s">
        <v>8</v>
      </c>
      <c r="B2" s="20">
        <v>25999</v>
      </c>
      <c r="C2" s="10" t="s">
        <v>13</v>
      </c>
      <c r="D2" s="19" t="s">
        <v>18</v>
      </c>
      <c r="E2" s="10" t="s">
        <v>23</v>
      </c>
      <c r="F2" s="10" t="s">
        <v>28</v>
      </c>
      <c r="G2" s="22">
        <v>45292</v>
      </c>
      <c r="H2" s="23">
        <f>ROUND(AVERAGEIF(formal_rating!A:A, "Redmi Note 13 Pro 5G", formal_rating!B:B),2)</f>
        <v>3.43</v>
      </c>
      <c r="I2" s="10">
        <f>SUMIFS(informal_rating!C:C, informal_rating!A:A, "Redmi Note 13 Pro 5G", informal_rating!D:D, "positive")</f>
        <v>45</v>
      </c>
      <c r="J2" s="23">
        <f>SUMIFS(informal_rating!C:C, informal_rating!A:A, "Redmi Note 13 Pro 5G", informal_rating!D:D, "negative")</f>
        <v>34</v>
      </c>
      <c r="K2" s="11">
        <f>ROUND(I2/(I2+J2),2)</f>
        <v>0.56999999999999995</v>
      </c>
      <c r="L2" s="11" t="s">
        <v>65</v>
      </c>
      <c r="M2" s="9" t="s">
        <v>66</v>
      </c>
      <c r="N2" s="18">
        <v>45292</v>
      </c>
      <c r="O2" s="23">
        <f>ROUND(AVERAGE(
  (MAX($B$2:$B$6)-B2)/(MAX($B$2:$B$6)-MIN($B$2:$B$6)),
  (H2-MIN($H$2:$H$6))/(MAX($H$2:$H$6)-MIN($H$2:$H$6)),
  (K2-MIN($K$2:$K$6))/(MAX($K$2:$K$6)-MIN($K$2:$K$6))
) * 100,0)</f>
        <v>25</v>
      </c>
      <c r="P2">
        <f>CORREL(B2:B6, H2:H6)</f>
        <v>0.57317860855288005</v>
      </c>
    </row>
    <row r="3" spans="1:16" ht="115.2" x14ac:dyDescent="0.3">
      <c r="A3" s="11" t="s">
        <v>11</v>
      </c>
      <c r="B3" s="20">
        <v>27999</v>
      </c>
      <c r="C3" s="10" t="s">
        <v>16</v>
      </c>
      <c r="D3" s="19" t="s">
        <v>21</v>
      </c>
      <c r="E3" s="10" t="s">
        <v>26</v>
      </c>
      <c r="F3" s="10" t="s">
        <v>29</v>
      </c>
      <c r="G3" s="22">
        <v>45292</v>
      </c>
      <c r="H3" s="23">
        <f>ROUND(AVERAGEIF(formal_rating!A:A, "POCO X6 Pro", formal_rating!B:B),2)</f>
        <v>4</v>
      </c>
      <c r="I3" s="10">
        <f>SUMIFS(informal_rating!C:C, informal_rating!A:A, "Poco X6 Pro", informal_rating!D:D, "positive")</f>
        <v>75</v>
      </c>
      <c r="J3" s="23">
        <f>SUMIFS(informal_rating!C:C, informal_rating!A:A, "Poco X6 Pro", informal_rating!D:D, "negative")</f>
        <v>51</v>
      </c>
      <c r="K3" s="21">
        <f>ROUND(I3/(I3+J3),2)</f>
        <v>0.6</v>
      </c>
      <c r="L3" s="11" t="s">
        <v>64</v>
      </c>
      <c r="M3" s="9" t="s">
        <v>70</v>
      </c>
      <c r="N3" s="18">
        <v>45292</v>
      </c>
      <c r="O3" s="23">
        <f>ROUND(AVERAGE(
  (MAX($B$2:$B$6)-B3)/(MAX($B$2:$B$6)-MIN($B$2:$B$6)),
  (H3-MIN($H$2:$H$6))/(MAX($H$2:$H$6)-MIN($H$2:$H$6)),
  (K3-MIN($K$2:$K$6))/(MAX($K$2:$K$6)-MIN($K$2:$K$6))
) * 100,0)</f>
        <v>39</v>
      </c>
      <c r="P3">
        <f>CORREL(B2:B6, K2:K6)</f>
        <v>-0.31612327972090243</v>
      </c>
    </row>
    <row r="4" spans="1:16" ht="57.6" x14ac:dyDescent="0.3">
      <c r="A4" s="11" t="s">
        <v>10</v>
      </c>
      <c r="B4" s="20">
        <v>24999</v>
      </c>
      <c r="C4" s="10" t="s">
        <v>15</v>
      </c>
      <c r="D4" s="19" t="s">
        <v>20</v>
      </c>
      <c r="E4" s="10" t="s">
        <v>25</v>
      </c>
      <c r="F4" s="10" t="s">
        <v>30</v>
      </c>
      <c r="G4" s="22">
        <v>45383</v>
      </c>
      <c r="H4" s="23">
        <f>ROUND(AVERAGEIF(formal_rating!A:A, "IQOO Z9 5G", formal_rating!B:B),2)</f>
        <v>3.83</v>
      </c>
      <c r="I4" s="10">
        <f>SUMIFS(informal_rating!C:C, informal_rating!A:A, "IQOO Z9 5G", informal_rating!D:D, "positive")</f>
        <v>49</v>
      </c>
      <c r="J4" s="23">
        <f>SUMIFS(informal_rating!C:C, informal_rating!A:A, "IQOO Z9 5G", informal_rating!D:D, "negative")</f>
        <v>41</v>
      </c>
      <c r="K4" s="21">
        <f>ROUND(I4/(I4+J4),2)</f>
        <v>0.54</v>
      </c>
      <c r="L4" s="11" t="s">
        <v>63</v>
      </c>
      <c r="M4" s="9" t="s">
        <v>68</v>
      </c>
      <c r="N4" s="18">
        <v>45352</v>
      </c>
      <c r="O4" s="23">
        <f>ROUND(AVERAGE(
  (MAX($B$2:$B$6)-B4)/(MAX($B$2:$B$6)-MIN($B$2:$B$6)),
  (H4-MIN($H$2:$H$6))/(MAX($H$2:$H$6)-MIN($H$2:$H$6)),
  (K4-MIN($K$2:$K$6))/(MAX($K$2:$K$6)-MIN($K$2:$K$6))
) * 100,0)</f>
        <v>57</v>
      </c>
    </row>
    <row r="5" spans="1:16" ht="72" x14ac:dyDescent="0.3">
      <c r="A5" s="11" t="s">
        <v>7</v>
      </c>
      <c r="B5" s="20">
        <v>24999</v>
      </c>
      <c r="C5" s="10" t="s">
        <v>12</v>
      </c>
      <c r="D5" s="19" t="s">
        <v>17</v>
      </c>
      <c r="E5" s="10" t="s">
        <v>22</v>
      </c>
      <c r="F5" s="10" t="s">
        <v>27</v>
      </c>
      <c r="G5" s="22">
        <v>45383</v>
      </c>
      <c r="H5" s="23">
        <f>ROUND(AVERAGEIF(formal_rating!A:A, "OnePlus Nord CE4", formal_rating!B:B),2)</f>
        <v>3.43</v>
      </c>
      <c r="I5" s="10">
        <f>SUMIFS(informal_rating!C:C, informal_rating!A:A, "OnePlus Nord CE4", informal_rating!D:D, "positive")</f>
        <v>59</v>
      </c>
      <c r="J5" s="23">
        <f>SUMIFS(informal_rating!C:C, informal_rating!A:A, "OnePlus Nord CE4", informal_rating!D:D, "Negative")</f>
        <v>8</v>
      </c>
      <c r="K5" s="21">
        <f>ROUND(I5/(I5+J5),2)</f>
        <v>0.88</v>
      </c>
      <c r="L5" s="11" t="s">
        <v>62</v>
      </c>
      <c r="M5" s="9" t="s">
        <v>69</v>
      </c>
      <c r="N5" s="18">
        <v>45383</v>
      </c>
      <c r="O5" s="23">
        <f>ROUND(AVERAGE(
  (MAX($B$2:$B$6)-B5)/(MAX($B$2:$B$6)-MIN($B$2:$B$6)),
  (H5-MIN($H$2:$H$6))/(MAX($H$2:$H$6)-MIN($H$2:$H$6)),
  (K5-MIN($K$2:$K$6))/(MAX($K$2:$K$6)-MIN($K$2:$K$6))
) * 100,0)</f>
        <v>67</v>
      </c>
    </row>
    <row r="6" spans="1:16" ht="43.2" x14ac:dyDescent="0.3">
      <c r="A6" s="11" t="s">
        <v>9</v>
      </c>
      <c r="B6" s="20">
        <v>25999</v>
      </c>
      <c r="C6" s="10" t="s">
        <v>14</v>
      </c>
      <c r="D6" s="19" t="s">
        <v>19</v>
      </c>
      <c r="E6" s="10" t="s">
        <v>24</v>
      </c>
      <c r="F6" s="10" t="s">
        <v>29</v>
      </c>
      <c r="G6" s="22">
        <v>45323</v>
      </c>
      <c r="H6" s="23">
        <f>ROUND(AVERAGEIF(formal_rating!A:A, "Realme 12 Pro 5G", formal_rating!B:B),2)</f>
        <v>3.86</v>
      </c>
      <c r="I6" s="10">
        <f>SUMIFS(informal_rating!C:C, informal_rating!A:A, "Realme 12 Pro 5G", informal_rating!D:D, "positive")</f>
        <v>57</v>
      </c>
      <c r="J6" s="23">
        <f>SUMIFS(informal_rating!C:C, informal_rating!A:A, "Realme 12 Pro 5G", informal_rating!D:D, "negative")</f>
        <v>20</v>
      </c>
      <c r="K6" s="11">
        <f>ROUND(I6/(I6+J6),2)</f>
        <v>0.74</v>
      </c>
      <c r="L6" s="11" t="s">
        <v>61</v>
      </c>
      <c r="M6" s="9" t="s">
        <v>67</v>
      </c>
      <c r="N6" s="18">
        <v>45292</v>
      </c>
      <c r="O6" s="23">
        <f>ROUND(AVERAGE(
  (MAX($B$2:$B$6)-B6)/(MAX($B$2:$B$6)-MIN($B$2:$B$6)),
  (H6-MIN($H$2:$H$6))/(MAX($H$2:$H$6)-MIN($H$2:$H$6)),
  (K6-MIN($K$2:$K$6))/(MAX($K$2:$K$6)-MIN($K$2:$K$6))
) * 100,0)</f>
        <v>67</v>
      </c>
    </row>
  </sheetData>
  <sortState xmlns:xlrd2="http://schemas.microsoft.com/office/spreadsheetml/2017/richdata2" ref="A2:O6">
    <sortCondition ref="O2:O6"/>
  </sortState>
  <hyperlinks>
    <hyperlink ref="M2" r:id="rId1" xr:uid="{65BA64E8-A975-4DBC-AF5D-1E6A6042EE7F}"/>
    <hyperlink ref="M6" r:id="rId2" xr:uid="{F576A279-B725-49F4-B88A-F87CD7804E01}"/>
    <hyperlink ref="M5" r:id="rId3" xr:uid="{06CE3973-5B92-45F3-98F2-E866DC6B09D4}"/>
    <hyperlink ref="M4" r:id="rId4" xr:uid="{26F4DA75-2900-46D5-B060-4037A434943A}"/>
    <hyperlink ref="M3" r:id="rId5" xr:uid="{9E42A41B-4186-4D0C-BFE7-E2242D749749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Phone_specs</vt:lpstr>
      <vt:lpstr>formal_rating</vt:lpstr>
      <vt:lpstr>Marketing_angel</vt:lpstr>
      <vt:lpstr>informal_rating</vt:lpstr>
      <vt:lpstr>master_summary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duchal</dc:creator>
  <cp:lastModifiedBy>mayuri duchal</cp:lastModifiedBy>
  <dcterms:created xsi:type="dcterms:W3CDTF">2026-07-05T08:51:49Z</dcterms:created>
  <dcterms:modified xsi:type="dcterms:W3CDTF">2026-07-06T10:39:46Z</dcterms:modified>
</cp:coreProperties>
</file>